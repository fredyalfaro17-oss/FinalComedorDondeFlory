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  <sheet sheetId="2" name="Buscador Inteligente" state="visible" r:id="rId5"/>
  </sheets>
  <calcPr calcId="171027" fullCalcOnLoad="1"/>
</workbook>
</file>

<file path=xl/sharedStrings.xml><?xml version="1.0" encoding="utf-8"?>
<sst xmlns="http://schemas.openxmlformats.org/spreadsheetml/2006/main" count="48" uniqueCount="26">
  <si>
    <t>INFORME DE VENTAS DEL DÍA</t>
  </si>
  <si>
    <t>No.</t>
  </si>
  <si>
    <t>NOMBRE DEL CLIENTE</t>
  </si>
  <si>
    <t>TELEFONO</t>
  </si>
  <si>
    <t>HORA</t>
  </si>
  <si>
    <t>TOTAL</t>
  </si>
  <si>
    <t>FORMA DE PAGO</t>
  </si>
  <si>
    <t>VENDEDOR</t>
  </si>
  <si>
    <t>Test</t>
  </si>
  <si>
    <t>123</t>
  </si>
  <si>
    <t>10:00</t>
  </si>
  <si>
    <t>EFECTIVO</t>
  </si>
  <si>
    <t>FREDY</t>
  </si>
  <si>
    <t>Total de la mañana</t>
  </si>
  <si>
    <t>Total de la Tarde</t>
  </si>
  <si>
    <t>TOTAL GENERAL DEL DÍA</t>
  </si>
  <si>
    <t>TRANSFERENCIA</t>
  </si>
  <si>
    <t>TARJETA</t>
  </si>
  <si>
    <t>JAIME</t>
  </si>
  <si>
    <t>VIEJO</t>
  </si>
  <si>
    <t>ANDRES Jr.</t>
  </si>
  <si>
    <t>🔍 BUSCADOR INTELIGENTE DE VENTAS — Comedor Donde Flory</t>
  </si>
  <si>
    <t>Selecciona Vendedor en C4 y/o Forma de Pago en E4 — los resultados aparecen solos ↓</t>
  </si>
  <si>
    <t>VENDEDOR:</t>
  </si>
  <si>
    <t>FORMA DE PAGO: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</si>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</sst>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Q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0"/>
      <name val="Arial"/>
    </font>
    <font>
      <b/>
    </font>
    <font>
      <b/>
      <sz val="12"/>
    </font>
    <font>
      <i/>
      <color rgb="FF475569"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E0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1" xfId="0" applyFill="1" applyBorder="1"/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/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25" customWidth="1"/>
    <col min="4" max="4" width="10" customWidth="1"/>
    <col min="5" max="5" width="15" customWidth="1"/>
    <col min="6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>
        <v>1</v>
      </c>
      <c r="B3" t="s">
        <v>8</v>
      </c>
      <c r="C3" t="s">
        <v>9</v>
      </c>
      <c r="D3" t="s">
        <v>10</v>
      </c>
      <c r="E3" s="3">
        <v>100</v>
      </c>
      <c r="F3" t="s">
        <v>11</v>
      </c>
      <c r="G3" t="s">
        <v>12</v>
      </c>
    </row>
    <row r="4" spans="1:7" x14ac:dyDescent="0.25">
      <c r="A4" s="4"/>
      <c r="B4" s="4"/>
      <c r="C4" s="4"/>
      <c r="D4" s="5" t="s">
        <v>13</v>
      </c>
      <c r="E4" s="6">
        <f>SUM(E3:E3)</f>
      </c>
      <c r="F4" s="4"/>
      <c r="G4" s="4"/>
    </row>
    <row r="6" spans="1:7" x14ac:dyDescent="0.25">
      <c r="A6" s="4"/>
      <c r="B6" s="4"/>
      <c r="C6" s="4"/>
      <c r="D6" s="5" t="s">
        <v>14</v>
      </c>
      <c r="E6" s="6">
        <v>0</v>
      </c>
      <c r="F6" s="4"/>
      <c r="G6" s="4"/>
    </row>
    <row r="8" spans="1:7" x14ac:dyDescent="0.25">
      <c r="A8" s="4"/>
      <c r="B8" s="4"/>
      <c r="C8" s="4"/>
      <c r="D8" s="7" t="s">
        <v>15</v>
      </c>
      <c r="E8" s="8">
        <f>E4 + E6</f>
      </c>
      <c r="F8" s="4"/>
      <c r="G8" s="4"/>
    </row>
    <row r="11" spans="4:7" x14ac:dyDescent="0.25">
      <c r="D11" s="9" t="s">
        <v>12</v>
      </c>
      <c r="E11" s="9" t="s">
        <v>11</v>
      </c>
      <c r="F11" s="9" t="s">
        <v>16</v>
      </c>
      <c r="G11" s="9" t="s">
        <v>17</v>
      </c>
    </row>
    <row r="12" spans="4:7" x14ac:dyDescent="0.25">
      <c r="D12" s="10"/>
      <c r="E12" s="11">
        <f>SUMIFS(E3:E5, G3:G5, "FREDY", F3:F5, "EFECTIVO")</f>
      </c>
      <c r="F12" s="11">
        <f>SUMIFS(E3:E5, G3:G5, "FREDY", F3:F5, "TRANSFERENCIA")</f>
      </c>
      <c r="G12" s="11">
        <f>SUMIFS(E3:E5, G3:G5, "FREDY", F3:F5, "TARJETA")</f>
      </c>
    </row>
    <row r="14" spans="4:7" x14ac:dyDescent="0.25">
      <c r="D14" s="9" t="s">
        <v>18</v>
      </c>
      <c r="E14" s="9" t="s">
        <v>11</v>
      </c>
      <c r="F14" s="9" t="s">
        <v>16</v>
      </c>
      <c r="G14" s="9" t="s">
        <v>17</v>
      </c>
    </row>
    <row r="15" spans="4:7" x14ac:dyDescent="0.25">
      <c r="D15" s="10"/>
      <c r="E15" s="11">
        <f>SUMIFS(E3:E5, G3:G5, "JAIME", F3:F5, "EFECTIVO")</f>
      </c>
      <c r="F15" s="11">
        <f>SUMIFS(E3:E5, G3:G5, "JAIME", F3:F5, "TRANSFERENCIA")</f>
      </c>
      <c r="G15" s="11">
        <f>SUMIFS(E3:E5, G3:G5, "JAIME", F3:F5, "TARJETA")</f>
      </c>
    </row>
    <row r="17" spans="4:7" x14ac:dyDescent="0.25">
      <c r="D17" s="9" t="s">
        <v>19</v>
      </c>
      <c r="E17" s="9" t="s">
        <v>11</v>
      </c>
      <c r="F17" s="9" t="s">
        <v>16</v>
      </c>
      <c r="G17" s="9" t="s">
        <v>17</v>
      </c>
    </row>
    <row r="18" spans="4:7" x14ac:dyDescent="0.25">
      <c r="D18" s="10"/>
      <c r="E18" s="11">
        <f>SUMIFS(E3:E5, G3:G5, "VIEJO", F3:F5, "EFECTIVO")</f>
      </c>
      <c r="F18" s="11">
        <f>SUMIFS(E3:E5, G3:G5, "VIEJO", F3:F5, "TRANSFERENCIA")</f>
      </c>
      <c r="G18" s="11">
        <f>SUMIFS(E3:E5, G3:G5, "VIEJO", F3:F5, "TARJETA")</f>
      </c>
    </row>
    <row r="20" spans="4:7" x14ac:dyDescent="0.25">
      <c r="D20" s="9" t="s">
        <v>20</v>
      </c>
      <c r="E20" s="9" t="s">
        <v>11</v>
      </c>
      <c r="F20" s="9" t="s">
        <v>16</v>
      </c>
      <c r="G20" s="9" t="s">
        <v>17</v>
      </c>
    </row>
    <row r="21" spans="4:7" x14ac:dyDescent="0.25">
      <c r="D21" s="10"/>
      <c r="E21" s="11">
        <f>SUMIFS(E3:E5, G3:G5, "ANDRES Jr.", F3:F5, "EFECTIVO")</f>
      </c>
      <c r="F21" s="11">
        <f>SUMIFS(E3:E5, G3:G5, "ANDRES Jr.", F3:F5, "TRANSFERENCIA")</f>
      </c>
      <c r="G21" s="11">
        <f>SUMIFS(E3:E5, G3:G5, "ANDRES Jr.", F3:F5, "TARJETA")</f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5" customWidth="1"/>
    <col min="3" max="3" width="20" customWidth="1"/>
    <col min="4" max="4" width="12" customWidth="1"/>
    <col min="5" max="5" width="15" customWidth="1"/>
    <col min="6" max="7" width="18" customWidth="1"/>
  </cols>
  <sheetData>
    <row r="1" ht="30" customHeight="1" spans="1:7" x14ac:dyDescent="0.25">
      <c r="A1" s="12" t="s">
        <v>21</v>
      </c>
      <c r="B1" s="12"/>
      <c r="C1" s="12"/>
      <c r="D1" s="12"/>
      <c r="E1" s="12"/>
      <c r="F1" s="12"/>
      <c r="G1" s="12"/>
    </row>
    <row r="2" ht="18" customHeight="1" spans="1:7" x14ac:dyDescent="0.25">
      <c r="A2" s="13" t="s">
        <v>22</v>
      </c>
      <c r="B2" s="13"/>
      <c r="C2" s="13"/>
      <c r="D2" s="13"/>
      <c r="E2" s="13"/>
      <c r="F2" s="13"/>
      <c r="G2" s="13"/>
    </row>
    <row r="3" ht="20" customHeight="1" spans="2:4" x14ac:dyDescent="0.25">
      <c r="B3" s="14" t="s">
        <v>23</v>
      </c>
      <c r="D3" s="14" t="s">
        <v>24</v>
      </c>
    </row>
    <row r="4" ht="24" customHeight="1" spans="3:5" x14ac:dyDescent="0.25">
      <c r="C4" s="15"/>
      <c r="E4" s="15"/>
    </row>
    <row r="5" ht="8" customHeight="1" x14ac:dyDescent="0.25"/>
    <row r="6" ht="22" customHeight="1" spans="1:7" x14ac:dyDescent="0.25">
      <c r="A6" s="2" t="s">
        <v>1</v>
      </c>
      <c r="B6" s="2" t="s">
        <v>2</v>
      </c>
      <c r="C6" s="2" t="s">
        <v>25</v>
      </c>
      <c r="D6" s="2" t="s">
        <v>4</v>
      </c>
      <c r="E6" s="2" t="s">
        <v>5</v>
      </c>
      <c r="F6" s="2" t="s">
        <v>6</v>
      </c>
      <c r="G6" s="2" t="s">
        <v>7</v>
      </c>
    </row>
    <row r="7" spans="1:1" x14ac:dyDescent="0.25">
      <c r="A7">
        <f>IFERROR(FILTER(A1000:G1000,((G1000:G1000=C$4)+(C$4="")=2)*((F1000:F1000=E$4)+(E$4="")=2)),"Sin coincidencias")</f>
      </c>
    </row>
    <row r="1000" hidden="1" spans="1:7" x14ac:dyDescent="0.25">
      <c r="A1000">
        <v>1</v>
      </c>
      <c r="B1000" t="s">
        <v>8</v>
      </c>
      <c r="C1000" t="s">
        <v>9</v>
      </c>
      <c r="D1000" t="s">
        <v>10</v>
      </c>
      <c r="E1000">
        <v>100</v>
      </c>
      <c r="F1000" t="s">
        <v>11</v>
      </c>
      <c r="G1000" t="s">
        <v>12</v>
      </c>
    </row>
  </sheetData>
  <mergeCells count="2">
    <mergeCell ref="A1:G1"/>
    <mergeCell ref="A2:G2"/>
  </mergeCells>
  <dataValidations count="2">
    <dataValidation type="list" allowBlank="1" sqref="C4">
      <formula1>"FREDY,JAIME,VIEJO,ANDRES Jr.,OTROS"</formula1>
    </dataValidation>
    <dataValidation type="list" allowBlank="1" sqref="E4">
      <formula1>"EFECTIVO,TRANSFERENCIA,TARJETA"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Ventas</vt:lpstr>
      <vt:lpstr>Buscador Inteligente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2026-04-26T09:15:43Z</dcterms:created>
  <dcterms:modified xsi:type="dcterms:W3CDTF">2026-04-26T09:15:43Z</dcterms:modified>
</cp:coreProperties>
</file>